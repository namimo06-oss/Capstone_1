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miranda\Documents\DATA_Labs\Capstone_1\"/>
    </mc:Choice>
  </mc:AlternateContent>
  <xr:revisionPtr revIDLastSave="0" documentId="8_{F22F33E8-F094-41B2-9481-371E71C80518}" xr6:coauthVersionLast="47" xr6:coauthVersionMax="47" xr10:uidLastSave="{00000000-0000-0000-0000-000000000000}"/>
  <bookViews>
    <workbookView xWindow="-110" yWindow="-110" windowWidth="19420" windowHeight="11500" xr2:uid="{83F94563-6C32-4839-B94A-179D20B041ED}"/>
  </bookViews>
  <sheets>
    <sheet name="Sheet1" sheetId="2" r:id="rId1"/>
    <sheet name="miranda_bonus_chartQ1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<sst xmlns="http://schemas.openxmlformats.org/spreadsheetml/2006/main" count="63" uniqueCount="32">
  <si>
    <t>SalesManager</t>
  </si>
  <si>
    <t>State</t>
  </si>
  <si>
    <t>Region</t>
  </si>
  <si>
    <t>TotalRevenue</t>
  </si>
  <si>
    <t>Shruti Reddy</t>
  </si>
  <si>
    <t>Maryland</t>
  </si>
  <si>
    <t>Northeast</t>
  </si>
  <si>
    <t>Jim Heck</t>
  </si>
  <si>
    <t>Colorado</t>
  </si>
  <si>
    <t>West</t>
  </si>
  <si>
    <t>Bo Heap</t>
  </si>
  <si>
    <t>Massachusetts</t>
  </si>
  <si>
    <t>Miami Vue</t>
  </si>
  <si>
    <t>New Jersey</t>
  </si>
  <si>
    <t>See Ellefson</t>
  </si>
  <si>
    <t>New York</t>
  </si>
  <si>
    <t>East</t>
  </si>
  <si>
    <t>Lana Ilana</t>
  </si>
  <si>
    <t>Florida</t>
  </si>
  <si>
    <t>South</t>
  </si>
  <si>
    <t>Jeff Howdy" Richards"</t>
  </si>
  <si>
    <t>Texas</t>
  </si>
  <si>
    <t>Ellen Lemon</t>
  </si>
  <si>
    <t>Connecticut</t>
  </si>
  <si>
    <t>Erbayne Middleton</t>
  </si>
  <si>
    <t>Maine</t>
  </si>
  <si>
    <t>Len Jensen</t>
  </si>
  <si>
    <t>South Carolina</t>
  </si>
  <si>
    <t>Sum of TotalRevenue</t>
  </si>
  <si>
    <t>Column Labels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</si>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</sst>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[miranda_bonus_chartQ13.xlsx]Sheet1!PivotTable1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80884375111169"/>
          <c:y val="0.12655714426110484"/>
          <c:w val="0.76671202710646247"/>
          <c:h val="0.557638877367513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Colorado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Sheet1!$B$3:$B$17</c:f>
              <c:numCache>
                <c:formatCode>General</c:formatCode>
                <c:ptCount val="10"/>
                <c:pt idx="9">
                  <c:v>6412632.2199999997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2-4B40-8F1A-AEF814AA1CE6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Connecticut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Sheet1!$C$3:$C$17</c:f>
              <c:numCache>
                <c:formatCode>General</c:formatCode>
                <c:ptCount val="10"/>
                <c:pt idx="0">
                  <c:v>2392222.44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F2-4B40-8F1A-AEF814AA1CE6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Florida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Sheet1!$D$3:$D$17</c:f>
              <c:numCache>
                <c:formatCode>General</c:formatCode>
                <c:ptCount val="10"/>
                <c:pt idx="7">
                  <c:v>3930187.55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7F2-4B40-8F1A-AEF814AA1CE6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Maine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Sheet1!$E$3:$E$17</c:f>
              <c:numCache>
                <c:formatCode>General</c:formatCode>
                <c:ptCount val="10"/>
                <c:pt idx="3">
                  <c:v>1877249.75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7F2-4B40-8F1A-AEF814AA1CE6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Maryland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Sheet1!$F$3:$F$17</c:f>
              <c:numCache>
                <c:formatCode>General</c:formatCode>
                <c:ptCount val="10"/>
                <c:pt idx="5">
                  <c:v>11451615.09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7F2-4B40-8F1A-AEF814AA1CE6}"/>
            </c:ext>
          </c:extLst>
        </c:ser>
        <c:ser>
          <c:idx val="5"/>
          <c:order val="5"/>
          <c:tx>
            <c:strRef>
              <c:f>Sheet1!$G$1:$G$2</c:f>
              <c:strCache>
                <c:ptCount val="1"/>
                <c:pt idx="0">
                  <c:v>Massachusetts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Sheet1!$G$3:$G$17</c:f>
              <c:numCache>
                <c:formatCode>General</c:formatCode>
                <c:ptCount val="10"/>
                <c:pt idx="2">
                  <c:v>5733256.2699999996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7F2-4B40-8F1A-AEF814AA1CE6}"/>
            </c:ext>
          </c:extLst>
        </c:ser>
        <c:ser>
          <c:idx val="6"/>
          <c:order val="6"/>
          <c:tx>
            <c:strRef>
              <c:f>Sheet1!$H$1:$H$2</c:f>
              <c:strCache>
                <c:ptCount val="1"/>
                <c:pt idx="0">
                  <c:v>New Jersey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Sheet1!$H$3:$H$17</c:f>
              <c:numCache>
                <c:formatCode>General</c:formatCode>
                <c:ptCount val="10"/>
                <c:pt idx="4">
                  <c:v>5175405.87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7F2-4B40-8F1A-AEF814AA1CE6}"/>
            </c:ext>
          </c:extLst>
        </c:ser>
        <c:ser>
          <c:idx val="7"/>
          <c:order val="7"/>
          <c:tx>
            <c:strRef>
              <c:f>Sheet1!$I$1:$I$2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Sheet1!$I$3:$I$17</c:f>
              <c:numCache>
                <c:formatCode>General</c:formatCode>
                <c:ptCount val="10"/>
                <c:pt idx="1">
                  <c:v>4330817.09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7F2-4B40-8F1A-AEF814AA1CE6}"/>
            </c:ext>
          </c:extLst>
        </c:ser>
        <c:ser>
          <c:idx val="8"/>
          <c:order val="8"/>
          <c:tx>
            <c:strRef>
              <c:f>Sheet1!$J$1:$J$2</c:f>
              <c:strCache>
                <c:ptCount val="1"/>
                <c:pt idx="0">
                  <c:v>South Carolina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Sheet1!$J$3:$J$17</c:f>
              <c:numCache>
                <c:formatCode>General</c:formatCode>
                <c:ptCount val="10"/>
                <c:pt idx="8">
                  <c:v>648812.56000000006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7F2-4B40-8F1A-AEF814AA1CE6}"/>
            </c:ext>
          </c:extLst>
        </c:ser>
        <c:ser>
          <c:idx val="9"/>
          <c:order val="9"/>
          <c:tx>
            <c:strRef>
              <c:f>Sheet1!$K$1:$K$2</c:f>
              <c:strCache>
                <c:ptCount val="1"/>
                <c:pt idx="0">
                  <c:v>Texas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Sheet1!$A$3:$A$17</c:f>
              <c:multiLvlStrCache>
                <c:ptCount val="10"/>
                <c:lvl>
                  <c:pt idx="0">
                    <c:v>Ellen Lemon</c:v>
                  </c:pt>
                  <c:pt idx="1">
                    <c:v>See Ellefson</c:v>
                  </c:pt>
                  <c:pt idx="2">
                    <c:v>Bo Heap</c:v>
                  </c:pt>
                  <c:pt idx="3">
                    <c:v>Erbayne Middleton</c:v>
                  </c:pt>
                  <c:pt idx="4">
                    <c:v>Miami Vue</c:v>
                  </c:pt>
                  <c:pt idx="5">
                    <c:v>Shruti Reddy</c:v>
                  </c:pt>
                  <c:pt idx="6">
                    <c:v>Jeff Howdy" Richards"</c:v>
                  </c:pt>
                  <c:pt idx="7">
                    <c:v>Lana Ilana</c:v>
                  </c:pt>
                  <c:pt idx="8">
                    <c:v>Len Jensen</c:v>
                  </c:pt>
                  <c:pt idx="9">
                    <c:v>Jim Heck</c:v>
                  </c:pt>
                </c:lvl>
                <c:lvl>
                  <c:pt idx="0">
                    <c:v>East</c:v>
                  </c:pt>
                  <c:pt idx="2">
                    <c:v>Northeast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Sheet1!$K$3:$K$17</c:f>
              <c:numCache>
                <c:formatCode>General</c:formatCode>
                <c:ptCount val="10"/>
                <c:pt idx="6">
                  <c:v>3417850.01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7F2-4B40-8F1A-AEF814AA1C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955957456"/>
        <c:axId val="955949776"/>
      </c:barChart>
      <c:catAx>
        <c:axId val="95595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49776"/>
        <c:crosses val="autoZero"/>
        <c:auto val="1"/>
        <c:lblAlgn val="ctr"/>
        <c:lblOffset val="100"/>
        <c:noMultiLvlLbl val="0"/>
      </c:catAx>
      <c:valAx>
        <c:axId val="955949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59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402142</xdr:colOff>
      <xdr:row>18</xdr:row>
      <xdr:rowOff>153100</xdr:rowOff>
    </xdr:from>
    <xdr:to>
      <xdr:col>16</xdr:col>
      <xdr:colOff>243191</xdr:colOff>
      <xdr:row>46</xdr:row>
      <xdr:rowOff>40532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91F9E-3FEE-2070-B918-5D3B9614E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42.095215624999" createdVersion="8" refreshedVersion="8" minRefreshableVersion="3" recordCount="10" xr:uid="{DD96C807-9B8F-430F-AFA6-DEA5896D97DA}">
  <cacheSource type="worksheet">
    <worksheetSource ref="A1:D11" sheet="miranda_bonus_chartQ13"/>
  </cacheSource>
  <cacheFields count="4">
    <cacheField name="SalesManager" numFmtId="0">
      <sharedItems count="10">
        <s v="Shruti Reddy"/>
        <s v="Jim Heck"/>
        <s v="Bo Heap"/>
        <s v="Miami Vue"/>
        <s v="See Ellefson"/>
        <s v="Lana Ilana"/>
        <s v="Jeff Howdy&quot; Richards&quot;"/>
        <s v="Ellen Lemon"/>
        <s v="Erbayne Middleton"/>
        <s v="Len Jensen"/>
      </sharedItems>
    </cacheField>
    <cacheField name="State" numFmtId="0">
      <sharedItems count="10">
        <s v="Maryland"/>
        <s v="Colorado"/>
        <s v="Massachusetts"/>
        <s v="New Jersey"/>
        <s v="New York"/>
        <s v="Florida"/>
        <s v="Texas"/>
        <s v="Connecticut"/>
        <s v="Maine"/>
        <s v="South Carolina"/>
      </sharedItems>
    </cacheField>
    <cacheField name="Region" numFmtId="0">
      <sharedItems count="4">
        <s v="Northeast"/>
        <s v="West"/>
        <s v="East"/>
        <s v="South"/>
      </sharedItems>
    </cacheField>
    <cacheField name="TotalRevenue" numFmtId="0">
      <sharedItems containsSemiMixedTypes="0" containsString="0" containsNumber="1" minValue="648812.56000000006" maxValue="11451615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11451615.09"/>
  </r>
  <r>
    <x v="1"/>
    <x v="1"/>
    <x v="1"/>
    <n v="6412632.2199999997"/>
  </r>
  <r>
    <x v="2"/>
    <x v="2"/>
    <x v="0"/>
    <n v="5733256.2699999996"/>
  </r>
  <r>
    <x v="3"/>
    <x v="3"/>
    <x v="0"/>
    <n v="5175405.87"/>
  </r>
  <r>
    <x v="4"/>
    <x v="4"/>
    <x v="2"/>
    <n v="4330817.09"/>
  </r>
  <r>
    <x v="5"/>
    <x v="5"/>
    <x v="3"/>
    <n v="3930187.55"/>
  </r>
  <r>
    <x v="6"/>
    <x v="6"/>
    <x v="3"/>
    <n v="3417850.01"/>
  </r>
  <r>
    <x v="7"/>
    <x v="7"/>
    <x v="2"/>
    <n v="2392222.44"/>
  </r>
  <r>
    <x v="8"/>
    <x v="8"/>
    <x v="0"/>
    <n v="1877249.75"/>
  </r>
  <r>
    <x v="9"/>
    <x v="9"/>
    <x v="3"/>
    <n v="648812.56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A2AA6-6BF0-47A1-AB7E-55431920907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L17" firstHeaderRow="1" firstDataRow="2" firstDataCol="1"/>
  <pivotFields count="4">
    <pivotField axis="axisRow" showAll="0">
      <items count="11">
        <item x="2"/>
        <item x="7"/>
        <item x="8"/>
        <item x="6"/>
        <item x="1"/>
        <item x="5"/>
        <item x="9"/>
        <item x="3"/>
        <item x="4"/>
        <item x="0"/>
        <item t="default"/>
      </items>
    </pivotField>
    <pivotField axis="axisCol" showAll="0">
      <items count="11">
        <item x="1"/>
        <item x="7"/>
        <item x="5"/>
        <item x="8"/>
        <item x="0"/>
        <item x="2"/>
        <item x="3"/>
        <item x="4"/>
        <item x="9"/>
        <item x="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dataField="1" showAll="0"/>
  </pivotFields>
  <rowFields count="2">
    <field x="2"/>
    <field x="0"/>
  </rowFields>
  <rowItems count="15">
    <i>
      <x/>
    </i>
    <i r="1">
      <x v="1"/>
    </i>
    <i r="1">
      <x v="8"/>
    </i>
    <i>
      <x v="1"/>
    </i>
    <i r="1">
      <x/>
    </i>
    <i r="1">
      <x v="2"/>
    </i>
    <i r="1">
      <x v="7"/>
    </i>
    <i r="1">
      <x v="9"/>
    </i>
    <i>
      <x v="2"/>
    </i>
    <i r="1">
      <x v="3"/>
    </i>
    <i r="1">
      <x v="5"/>
    </i>
    <i r="1">
      <x v="6"/>
    </i>
    <i>
      <x v="3"/>
    </i>
    <i r="1"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Revenue" fld="3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E8B-9904-4A1B-85C6-5050F29CDE29}">
  <dimension ref="A1:L17"/>
  <sheetViews>
    <sheetView tabSelected="1" topLeftCell="A10" zoomScale="71" workbookViewId="0">
      <selection activeCell="J97" sqref="J97"/>
    </sheetView>
  </sheetViews>
  <sheetFormatPr defaultRowHeight="14.5" x14ac:dyDescent="0.35"/>
  <cols>
    <col min="1" max="1" width="22" bestFit="1" customWidth="1"/>
    <col min="2" max="2" width="16.453125" bestFit="1" customWidth="1"/>
    <col min="3" max="3" width="11.36328125" bestFit="1" customWidth="1"/>
    <col min="4" max="5" width="11.26953125" bestFit="1" customWidth="1"/>
    <col min="6" max="6" width="12.26953125" bestFit="1" customWidth="1"/>
    <col min="7" max="7" width="13.7265625" bestFit="1" customWidth="1"/>
    <col min="8" max="9" width="11.26953125" bestFit="1" customWidth="1"/>
    <col min="10" max="10" width="13.54296875" bestFit="1" customWidth="1"/>
    <col min="11" max="11" width="11.26953125" bestFit="1" customWidth="1"/>
    <col min="12" max="12" width="12.26953125" bestFit="1" customWidth="1"/>
    <col min="13" max="13" width="14.1796875" bestFit="1" customWidth="1"/>
    <col min="14" max="14" width="13.54296875" bestFit="1" customWidth="1"/>
    <col min="15" max="15" width="14.6328125" bestFit="1" customWidth="1"/>
    <col min="16" max="16" width="11.36328125" bestFit="1" customWidth="1"/>
    <col min="17" max="17" width="14.54296875" bestFit="1" customWidth="1"/>
    <col min="18" max="18" width="12.7265625" bestFit="1" customWidth="1"/>
    <col min="19" max="19" width="15.90625" bestFit="1" customWidth="1"/>
    <col min="20" max="20" width="13.26953125" bestFit="1" customWidth="1"/>
    <col min="21" max="21" width="16.453125" bestFit="1" customWidth="1"/>
    <col min="22" max="22" width="12.26953125" bestFit="1" customWidth="1"/>
  </cols>
  <sheetData>
    <row r="1" spans="1:12" x14ac:dyDescent="0.35">
      <c r="A1" s="2" t="s">
        <v>28</v>
      </c>
      <c r="B1" s="2" t="s">
        <v>29</v>
      </c>
    </row>
    <row r="2" spans="1:12" x14ac:dyDescent="0.35">
      <c r="A2" s="2" t="s">
        <v>31</v>
      </c>
      <c r="B2" t="s">
        <v>8</v>
      </c>
      <c r="C2" t="s">
        <v>23</v>
      </c>
      <c r="D2" t="s">
        <v>18</v>
      </c>
      <c r="E2" t="s">
        <v>25</v>
      </c>
      <c r="F2" t="s">
        <v>5</v>
      </c>
      <c r="G2" t="s">
        <v>11</v>
      </c>
      <c r="H2" t="s">
        <v>13</v>
      </c>
      <c r="I2" t="s">
        <v>15</v>
      </c>
      <c r="J2" t="s">
        <v>27</v>
      </c>
      <c r="K2" t="s">
        <v>21</v>
      </c>
      <c r="L2" t="s">
        <v>30</v>
      </c>
    </row>
    <row r="3" spans="1:12" x14ac:dyDescent="0.35">
      <c r="A3" s="3" t="s">
        <v>16</v>
      </c>
      <c r="B3" s="1"/>
      <c r="C3" s="1">
        <v>2392222.44</v>
      </c>
      <c r="D3" s="1"/>
      <c r="E3" s="1"/>
      <c r="F3" s="1"/>
      <c r="G3" s="1"/>
      <c r="H3" s="1"/>
      <c r="I3" s="1">
        <v>4330817.09</v>
      </c>
      <c r="J3" s="1"/>
      <c r="K3" s="1"/>
      <c r="L3" s="1">
        <v>6723039.5299999993</v>
      </c>
    </row>
    <row r="4" spans="1:12" x14ac:dyDescent="0.35">
      <c r="A4" s="4" t="s">
        <v>22</v>
      </c>
      <c r="B4" s="1"/>
      <c r="C4" s="1">
        <v>2392222.44</v>
      </c>
      <c r="D4" s="1"/>
      <c r="E4" s="1"/>
      <c r="F4" s="1"/>
      <c r="G4" s="1"/>
      <c r="H4" s="1"/>
      <c r="I4" s="1"/>
      <c r="J4" s="1"/>
      <c r="K4" s="1"/>
      <c r="L4" s="1">
        <v>2392222.44</v>
      </c>
    </row>
    <row r="5" spans="1:12" x14ac:dyDescent="0.35">
      <c r="A5" s="4" t="s">
        <v>14</v>
      </c>
      <c r="B5" s="1"/>
      <c r="C5" s="1"/>
      <c r="D5" s="1"/>
      <c r="E5" s="1"/>
      <c r="F5" s="1"/>
      <c r="G5" s="1"/>
      <c r="H5" s="1"/>
      <c r="I5" s="1">
        <v>4330817.09</v>
      </c>
      <c r="J5" s="1"/>
      <c r="K5" s="1"/>
      <c r="L5" s="1">
        <v>4330817.09</v>
      </c>
    </row>
    <row r="6" spans="1:12" x14ac:dyDescent="0.35">
      <c r="A6" s="3" t="s">
        <v>6</v>
      </c>
      <c r="B6" s="1"/>
      <c r="C6" s="1"/>
      <c r="D6" s="1"/>
      <c r="E6" s="1">
        <v>1877249.75</v>
      </c>
      <c r="F6" s="1">
        <v>11451615.09</v>
      </c>
      <c r="G6" s="1">
        <v>5733256.2699999996</v>
      </c>
      <c r="H6" s="1">
        <v>5175405.87</v>
      </c>
      <c r="I6" s="1"/>
      <c r="J6" s="1"/>
      <c r="K6" s="1"/>
      <c r="L6" s="1">
        <v>24237526.98</v>
      </c>
    </row>
    <row r="7" spans="1:12" x14ac:dyDescent="0.35">
      <c r="A7" s="4" t="s">
        <v>10</v>
      </c>
      <c r="B7" s="1"/>
      <c r="C7" s="1"/>
      <c r="D7" s="1"/>
      <c r="E7" s="1"/>
      <c r="F7" s="1"/>
      <c r="G7" s="1">
        <v>5733256.2699999996</v>
      </c>
      <c r="H7" s="1"/>
      <c r="I7" s="1"/>
      <c r="J7" s="1"/>
      <c r="K7" s="1"/>
      <c r="L7" s="1">
        <v>5733256.2699999996</v>
      </c>
    </row>
    <row r="8" spans="1:12" x14ac:dyDescent="0.35">
      <c r="A8" s="4" t="s">
        <v>24</v>
      </c>
      <c r="B8" s="1"/>
      <c r="C8" s="1"/>
      <c r="D8" s="1"/>
      <c r="E8" s="1">
        <v>1877249.75</v>
      </c>
      <c r="F8" s="1"/>
      <c r="G8" s="1"/>
      <c r="H8" s="1"/>
      <c r="I8" s="1"/>
      <c r="J8" s="1"/>
      <c r="K8" s="1"/>
      <c r="L8" s="1">
        <v>1877249.75</v>
      </c>
    </row>
    <row r="9" spans="1:12" x14ac:dyDescent="0.35">
      <c r="A9" s="4" t="s">
        <v>12</v>
      </c>
      <c r="B9" s="1"/>
      <c r="C9" s="1"/>
      <c r="D9" s="1"/>
      <c r="E9" s="1"/>
      <c r="F9" s="1"/>
      <c r="G9" s="1"/>
      <c r="H9" s="1">
        <v>5175405.87</v>
      </c>
      <c r="I9" s="1"/>
      <c r="J9" s="1"/>
      <c r="K9" s="1"/>
      <c r="L9" s="1">
        <v>5175405.87</v>
      </c>
    </row>
    <row r="10" spans="1:12" x14ac:dyDescent="0.35">
      <c r="A10" s="4" t="s">
        <v>4</v>
      </c>
      <c r="B10" s="1"/>
      <c r="C10" s="1"/>
      <c r="D10" s="1"/>
      <c r="E10" s="1"/>
      <c r="F10" s="1">
        <v>11451615.09</v>
      </c>
      <c r="G10" s="1"/>
      <c r="H10" s="1"/>
      <c r="I10" s="1"/>
      <c r="J10" s="1"/>
      <c r="K10" s="1"/>
      <c r="L10" s="1">
        <v>11451615.09</v>
      </c>
    </row>
    <row r="11" spans="1:12" x14ac:dyDescent="0.35">
      <c r="A11" s="3" t="s">
        <v>19</v>
      </c>
      <c r="B11" s="1"/>
      <c r="C11" s="1"/>
      <c r="D11" s="1">
        <v>3930187.55</v>
      </c>
      <c r="E11" s="1"/>
      <c r="F11" s="1"/>
      <c r="G11" s="1"/>
      <c r="H11" s="1"/>
      <c r="I11" s="1"/>
      <c r="J11" s="1">
        <v>648812.56000000006</v>
      </c>
      <c r="K11" s="1">
        <v>3417850.01</v>
      </c>
      <c r="L11" s="1">
        <v>7996850.1199999992</v>
      </c>
    </row>
    <row r="12" spans="1:12" x14ac:dyDescent="0.35">
      <c r="A12" s="4" t="s">
        <v>20</v>
      </c>
      <c r="B12" s="1"/>
      <c r="C12" s="1"/>
      <c r="D12" s="1"/>
      <c r="E12" s="1"/>
      <c r="F12" s="1"/>
      <c r="G12" s="1"/>
      <c r="H12" s="1"/>
      <c r="I12" s="1"/>
      <c r="J12" s="1"/>
      <c r="K12" s="1">
        <v>3417850.01</v>
      </c>
      <c r="L12" s="1">
        <v>3417850.01</v>
      </c>
    </row>
    <row r="13" spans="1:12" x14ac:dyDescent="0.35">
      <c r="A13" s="4" t="s">
        <v>17</v>
      </c>
      <c r="B13" s="1"/>
      <c r="C13" s="1"/>
      <c r="D13" s="1">
        <v>3930187.55</v>
      </c>
      <c r="E13" s="1"/>
      <c r="F13" s="1"/>
      <c r="G13" s="1"/>
      <c r="H13" s="1"/>
      <c r="I13" s="1"/>
      <c r="J13" s="1"/>
      <c r="K13" s="1"/>
      <c r="L13" s="1">
        <v>3930187.55</v>
      </c>
    </row>
    <row r="14" spans="1:12" x14ac:dyDescent="0.35">
      <c r="A14" s="4" t="s">
        <v>26</v>
      </c>
      <c r="B14" s="1"/>
      <c r="C14" s="1"/>
      <c r="D14" s="1"/>
      <c r="E14" s="1"/>
      <c r="F14" s="1"/>
      <c r="G14" s="1"/>
      <c r="H14" s="1"/>
      <c r="I14" s="1"/>
      <c r="J14" s="1">
        <v>648812.56000000006</v>
      </c>
      <c r="K14" s="1"/>
      <c r="L14" s="1">
        <v>648812.56000000006</v>
      </c>
    </row>
    <row r="15" spans="1:12" x14ac:dyDescent="0.35">
      <c r="A15" s="3" t="s">
        <v>9</v>
      </c>
      <c r="B15" s="1">
        <v>6412632.2199999997</v>
      </c>
      <c r="C15" s="1"/>
      <c r="D15" s="1"/>
      <c r="E15" s="1"/>
      <c r="F15" s="1"/>
      <c r="G15" s="1"/>
      <c r="H15" s="1"/>
      <c r="I15" s="1"/>
      <c r="J15" s="1"/>
      <c r="K15" s="1"/>
      <c r="L15" s="1">
        <v>6412632.2199999997</v>
      </c>
    </row>
    <row r="16" spans="1:12" x14ac:dyDescent="0.35">
      <c r="A16" s="4" t="s">
        <v>7</v>
      </c>
      <c r="B16" s="1">
        <v>6412632.2199999997</v>
      </c>
      <c r="C16" s="1"/>
      <c r="D16" s="1"/>
      <c r="E16" s="1"/>
      <c r="F16" s="1"/>
      <c r="G16" s="1"/>
      <c r="H16" s="1"/>
      <c r="I16" s="1"/>
      <c r="J16" s="1"/>
      <c r="K16" s="1"/>
      <c r="L16" s="1">
        <v>6412632.2199999997</v>
      </c>
    </row>
    <row r="17" spans="1:12" x14ac:dyDescent="0.35">
      <c r="A17" s="3" t="s">
        <v>30</v>
      </c>
      <c r="B17" s="1">
        <v>6412632.2199999997</v>
      </c>
      <c r="C17" s="1">
        <v>2392222.44</v>
      </c>
      <c r="D17" s="1">
        <v>3930187.55</v>
      </c>
      <c r="E17" s="1">
        <v>1877249.75</v>
      </c>
      <c r="F17" s="1">
        <v>11451615.09</v>
      </c>
      <c r="G17" s="1">
        <v>5733256.2699999996</v>
      </c>
      <c r="H17" s="1">
        <v>5175405.87</v>
      </c>
      <c r="I17" s="1">
        <v>4330817.09</v>
      </c>
      <c r="J17" s="1">
        <v>648812.56000000006</v>
      </c>
      <c r="K17" s="1">
        <v>3417850.01</v>
      </c>
      <c r="L17" s="1">
        <v>45370048.849999994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DB63-0A66-43A3-8550-5881E938F726}">
  <dimension ref="A1:D11"/>
  <sheetViews>
    <sheetView workbookViewId="0">
      <selection sqref="A1:D11"/>
    </sheetView>
  </sheetViews>
  <sheetFormatPr defaultColWidth="18.81640625" defaultRowHeight="14.5" x14ac:dyDescent="0.35"/>
  <cols>
    <col min="4" max="4" width="15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11451615.09</v>
      </c>
    </row>
    <row r="3" spans="1:4" x14ac:dyDescent="0.35">
      <c r="A3" t="s">
        <v>7</v>
      </c>
      <c r="B3" t="s">
        <v>8</v>
      </c>
      <c r="C3" t="s">
        <v>9</v>
      </c>
      <c r="D3">
        <v>6412632.2199999997</v>
      </c>
    </row>
    <row r="4" spans="1:4" x14ac:dyDescent="0.35">
      <c r="A4" t="s">
        <v>10</v>
      </c>
      <c r="B4" t="s">
        <v>11</v>
      </c>
      <c r="C4" t="s">
        <v>6</v>
      </c>
      <c r="D4">
        <v>5733256.2699999996</v>
      </c>
    </row>
    <row r="5" spans="1:4" x14ac:dyDescent="0.35">
      <c r="A5" t="s">
        <v>12</v>
      </c>
      <c r="B5" t="s">
        <v>13</v>
      </c>
      <c r="C5" t="s">
        <v>6</v>
      </c>
      <c r="D5">
        <v>5175405.87</v>
      </c>
    </row>
    <row r="6" spans="1:4" x14ac:dyDescent="0.35">
      <c r="A6" t="s">
        <v>14</v>
      </c>
      <c r="B6" t="s">
        <v>15</v>
      </c>
      <c r="C6" t="s">
        <v>16</v>
      </c>
      <c r="D6">
        <v>4330817.09</v>
      </c>
    </row>
    <row r="7" spans="1:4" x14ac:dyDescent="0.35">
      <c r="A7" t="s">
        <v>17</v>
      </c>
      <c r="B7" t="s">
        <v>18</v>
      </c>
      <c r="C7" t="s">
        <v>19</v>
      </c>
      <c r="D7">
        <v>3930187.55</v>
      </c>
    </row>
    <row r="8" spans="1:4" x14ac:dyDescent="0.35">
      <c r="A8" t="s">
        <v>20</v>
      </c>
      <c r="B8" t="s">
        <v>21</v>
      </c>
      <c r="C8" t="s">
        <v>19</v>
      </c>
      <c r="D8">
        <v>3417850.01</v>
      </c>
    </row>
    <row r="9" spans="1:4" x14ac:dyDescent="0.35">
      <c r="A9" t="s">
        <v>22</v>
      </c>
      <c r="B9" t="s">
        <v>23</v>
      </c>
      <c r="C9" t="s">
        <v>16</v>
      </c>
      <c r="D9">
        <v>2392222.44</v>
      </c>
    </row>
    <row r="10" spans="1:4" x14ac:dyDescent="0.35">
      <c r="A10" t="s">
        <v>24</v>
      </c>
      <c r="B10" t="s">
        <v>25</v>
      </c>
      <c r="C10" t="s">
        <v>6</v>
      </c>
      <c r="D10">
        <v>1877249.75</v>
      </c>
    </row>
    <row r="11" spans="1:4" x14ac:dyDescent="0.35">
      <c r="A11" t="s">
        <v>26</v>
      </c>
      <c r="B11" t="s">
        <v>27</v>
      </c>
      <c r="C11" t="s">
        <v>19</v>
      </c>
      <c r="D11">
        <v>648812.56000000006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miranda_bonus_chartQ13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miranda</cp:lastModifiedBy>
  <dcterms:created xsi:type="dcterms:W3CDTF">2026-04-30T09:24:29Z</dcterms:created>
  <dcterms:modified xsi:type="dcterms:W3CDTF">2026-04-30T09:26:03Z</dcterms:modified>
</cp:coreProperties>
</file>